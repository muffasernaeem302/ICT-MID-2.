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32BA3F8-AA00-4BEC-BDE6-1DA6E4094215}" xr6:coauthVersionLast="47" xr6:coauthVersionMax="47" xr10:uidLastSave="{00000000-0000-0000-0000-000000000000}"/>
  <bookViews>
    <workbookView xWindow="-110" yWindow="-110" windowWidth="19420" windowHeight="10300" xr2:uid="{107EFA54-AD8F-407E-88F2-422BDCEC7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G3" i="1"/>
  <c r="G4" i="1"/>
  <c r="G5" i="1"/>
  <c r="G6" i="1"/>
  <c r="G7" i="1"/>
  <c r="G8" i="1"/>
  <c r="H8" i="1" s="1"/>
  <c r="G9" i="1"/>
  <c r="H9" i="1" s="1"/>
  <c r="G10" i="1"/>
  <c r="G11" i="1"/>
  <c r="G2" i="1"/>
  <c r="F3" i="1"/>
  <c r="F4" i="1"/>
  <c r="F5" i="1"/>
  <c r="F6" i="1"/>
  <c r="F7" i="1"/>
  <c r="H7" i="1" s="1"/>
  <c r="F8" i="1"/>
  <c r="F9" i="1"/>
  <c r="F10" i="1"/>
  <c r="F11" i="1"/>
  <c r="F2" i="1"/>
  <c r="E3" i="1"/>
  <c r="E4" i="1"/>
  <c r="H4" i="1" s="1"/>
  <c r="E5" i="1"/>
  <c r="H5" i="1" s="1"/>
  <c r="E6" i="1"/>
  <c r="E7" i="1"/>
  <c r="E8" i="1"/>
  <c r="E9" i="1"/>
  <c r="E10" i="1"/>
  <c r="E11" i="1"/>
  <c r="E2" i="1"/>
  <c r="D3" i="1"/>
  <c r="H3" i="1" s="1"/>
  <c r="D4" i="1"/>
  <c r="D5" i="1"/>
  <c r="D6" i="1"/>
  <c r="D7" i="1"/>
  <c r="D8" i="1"/>
  <c r="D9" i="1"/>
  <c r="D10" i="1"/>
  <c r="D11" i="1"/>
  <c r="H11" i="1" s="1"/>
  <c r="D2" i="1"/>
  <c r="H2" i="1" s="1"/>
  <c r="H6" i="1" l="1"/>
  <c r="H12" i="1" s="1"/>
</calcChain>
</file>

<file path=xl/sharedStrings.xml><?xml version="1.0" encoding="utf-8"?>
<sst xmlns="http://schemas.openxmlformats.org/spreadsheetml/2006/main" count="21" uniqueCount="21">
  <si>
    <t>EMPLOYEE ID</t>
  </si>
  <si>
    <t>EMPLOYEE NAME</t>
  </si>
  <si>
    <t>EMPLOYEE GROSS SALARY</t>
  </si>
  <si>
    <t>INCOME TAX</t>
  </si>
  <si>
    <t>MEDICAL INSURANCE</t>
  </si>
  <si>
    <t>BENEVOLENT FUND</t>
  </si>
  <si>
    <t>PROVIDENT FUND</t>
  </si>
  <si>
    <t xml:space="preserve">EMPLOYEE NET SALARY </t>
  </si>
  <si>
    <t>Ali</t>
  </si>
  <si>
    <t>Asad</t>
  </si>
  <si>
    <t>Saad</t>
  </si>
  <si>
    <t>Tariq</t>
  </si>
  <si>
    <t>Usman</t>
  </si>
  <si>
    <t>Saud</t>
  </si>
  <si>
    <t>Arham</t>
  </si>
  <si>
    <t>Tahir</t>
  </si>
  <si>
    <t>Shahid</t>
  </si>
  <si>
    <t>Nasir</t>
  </si>
  <si>
    <t xml:space="preserve">GROSS LESS SALARY </t>
  </si>
  <si>
    <t xml:space="preserve">GROSS MORE SALARY </t>
  </si>
  <si>
    <t>AVERAGE  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</si>
</sst>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/>
    <xf numFmtId="3" fontId="0" fillId="3" borderId="1" xfId="1" applyNumberFormat="1" applyFont="1" applyFill="1" applyBorder="1"/>
    <xf numFmtId="43" fontId="0" fillId="3" borderId="1" xfId="1" applyFont="1" applyFill="1" applyBorder="1"/>
    <xf numFmtId="43" fontId="2" fillId="4" borderId="1" xfId="1" applyFont="1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3" fontId="2" fillId="4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EMPLOYEE NET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Sheet1!$B$2:$B$11</c:f>
              <c:strCache>
                <c:ptCount val="10"/>
                <c:pt idx="0">
                  <c:v>Ali</c:v>
                </c:pt>
                <c:pt idx="1">
                  <c:v>Asad</c:v>
                </c:pt>
                <c:pt idx="2">
                  <c:v>Saad</c:v>
                </c:pt>
                <c:pt idx="3">
                  <c:v>Tariq</c:v>
                </c:pt>
                <c:pt idx="4">
                  <c:v>Usman</c:v>
                </c:pt>
                <c:pt idx="5">
                  <c:v>Saud</c:v>
                </c:pt>
                <c:pt idx="6">
                  <c:v>Arham</c:v>
                </c:pt>
                <c:pt idx="7">
                  <c:v>Tahir</c:v>
                </c:pt>
                <c:pt idx="8">
                  <c:v>Shahid</c:v>
                </c:pt>
                <c:pt idx="9">
                  <c:v>Nasir</c:v>
                </c:pt>
              </c:strCache>
            </c:strRef>
          </c:cat>
          <c:val>
            <c:numRef>
              <c:f>Sheet1!$H$2:$H$11</c:f>
              <c:numCache>
                <c:formatCode>_(* #,##0.00_);_(* \(#,##0.00\);_(* "-"??_);_(@_)</c:formatCode>
                <c:ptCount val="10"/>
                <c:pt idx="0">
                  <c:v>69300</c:v>
                </c:pt>
                <c:pt idx="1">
                  <c:v>115500</c:v>
                </c:pt>
                <c:pt idx="2">
                  <c:v>231000</c:v>
                </c:pt>
                <c:pt idx="3">
                  <c:v>192500</c:v>
                </c:pt>
                <c:pt idx="4">
                  <c:v>169400</c:v>
                </c:pt>
                <c:pt idx="5">
                  <c:v>177100</c:v>
                </c:pt>
                <c:pt idx="6">
                  <c:v>154000</c:v>
                </c:pt>
                <c:pt idx="7">
                  <c:v>146300</c:v>
                </c:pt>
                <c:pt idx="8">
                  <c:v>138600</c:v>
                </c:pt>
                <c:pt idx="9">
                  <c:v>115500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E-48C2-B43A-D46A593B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5194559"/>
        <c:axId val="1196998079"/>
      </c:barChart>
      <c:catAx>
        <c:axId val="144519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98079"/>
        <c:crosses val="autoZero"/>
        <c:auto val="1"/>
        <c:lblAlgn val="ctr"/>
        <c:lblOffset val="100"/>
        <c:noMultiLvlLbl val="0"/>
      </c:catAx>
      <c:valAx>
        <c:axId val="11969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458855</xdr:colOff>
      <xdr:row>0</xdr:row>
      <xdr:rowOff>280239</xdr:rowOff>
    </xdr:from>
    <xdr:to>
      <xdr:col>16</xdr:col>
      <xdr:colOff>220397</xdr:colOff>
      <xdr:row>14</xdr:row>
      <xdr:rowOff>116481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66554-6E67-44C4-92CC-F04881600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3C54-4C81-4FD4-8FAF-7AE57E8B546E}">
  <dimension ref="A1:J14"/>
  <sheetViews>
    <sheetView tabSelected="1" zoomScale="76" workbookViewId="0">
      <selection activeCell="T7" sqref="T7"/>
    </sheetView>
  </sheetViews>
  <sheetFormatPr defaultRowHeight="14.5" x14ac:dyDescent="0.35"/>
  <cols>
    <col min="1" max="1" width="12.54296875" customWidth="1"/>
    <col min="2" max="2" width="14.1796875" customWidth="1"/>
    <col min="3" max="3" width="14" customWidth="1"/>
    <col min="5" max="5" width="12.26953125" customWidth="1"/>
    <col min="6" max="6" width="13" customWidth="1"/>
    <col min="7" max="7" width="13.81640625" customWidth="1"/>
    <col min="8" max="8" width="17.26953125" customWidth="1"/>
  </cols>
  <sheetData>
    <row r="1" spans="1:10" ht="4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x14ac:dyDescent="0.35">
      <c r="A2" s="3">
        <v>1</v>
      </c>
      <c r="B2" s="4" t="s">
        <v>8</v>
      </c>
      <c r="C2" s="5">
        <v>90000</v>
      </c>
      <c r="D2" s="4">
        <f>C2*0.1</f>
        <v>9000</v>
      </c>
      <c r="E2" s="4">
        <f>C2*0.05</f>
        <v>4500</v>
      </c>
      <c r="F2" s="4">
        <f>C2*0.02</f>
        <v>1800</v>
      </c>
      <c r="G2" s="4">
        <f>C2*0.06</f>
        <v>5400</v>
      </c>
      <c r="H2" s="6">
        <f>C2-D2-E2-F2-G2</f>
        <v>69300</v>
      </c>
    </row>
    <row r="3" spans="1:10" x14ac:dyDescent="0.35">
      <c r="A3" s="3">
        <v>2</v>
      </c>
      <c r="B3" s="4" t="s">
        <v>9</v>
      </c>
      <c r="C3" s="5">
        <v>150000</v>
      </c>
      <c r="D3" s="4">
        <f>C3*0.1</f>
        <v>15000</v>
      </c>
      <c r="E3" s="4">
        <f>C3*0.05</f>
        <v>7500</v>
      </c>
      <c r="F3" s="4">
        <f>C3*0.02</f>
        <v>3000</v>
      </c>
      <c r="G3" s="4">
        <f>C3*0.06</f>
        <v>9000</v>
      </c>
      <c r="H3" s="6">
        <f>C3-D3-E3-F3-G3</f>
        <v>115500</v>
      </c>
    </row>
    <row r="4" spans="1:10" x14ac:dyDescent="0.35">
      <c r="A4" s="3">
        <v>3</v>
      </c>
      <c r="B4" s="4" t="s">
        <v>10</v>
      </c>
      <c r="C4" s="5">
        <v>300000</v>
      </c>
      <c r="D4" s="4">
        <f>C4*0.1</f>
        <v>30000</v>
      </c>
      <c r="E4" s="4">
        <f>C4*0.05</f>
        <v>15000</v>
      </c>
      <c r="F4" s="4">
        <f>C4*0.02</f>
        <v>6000</v>
      </c>
      <c r="G4" s="4">
        <f>C4*0.06</f>
        <v>18000</v>
      </c>
      <c r="H4" s="6">
        <f>C4-D4-E4-F4-G4</f>
        <v>231000</v>
      </c>
    </row>
    <row r="5" spans="1:10" x14ac:dyDescent="0.35">
      <c r="A5" s="3">
        <v>4</v>
      </c>
      <c r="B5" s="4" t="s">
        <v>11</v>
      </c>
      <c r="C5" s="5">
        <v>250000</v>
      </c>
      <c r="D5" s="4">
        <f>C5*0.1</f>
        <v>25000</v>
      </c>
      <c r="E5" s="4">
        <f>C5*0.05</f>
        <v>12500</v>
      </c>
      <c r="F5" s="4">
        <f>C5*0.02</f>
        <v>5000</v>
      </c>
      <c r="G5" s="4">
        <f>C5*0.06</f>
        <v>15000</v>
      </c>
      <c r="H5" s="6">
        <f>C5-D5-E5-F5-G5</f>
        <v>192500</v>
      </c>
    </row>
    <row r="6" spans="1:10" x14ac:dyDescent="0.35">
      <c r="A6" s="3">
        <v>5</v>
      </c>
      <c r="B6" s="4" t="s">
        <v>12</v>
      </c>
      <c r="C6" s="5">
        <v>220000</v>
      </c>
      <c r="D6" s="4">
        <f>C6*0.1</f>
        <v>22000</v>
      </c>
      <c r="E6" s="4">
        <f>C6*0.05</f>
        <v>11000</v>
      </c>
      <c r="F6" s="4">
        <f>C6*0.02</f>
        <v>4400</v>
      </c>
      <c r="G6" s="4">
        <f>C6*0.06</f>
        <v>13200</v>
      </c>
      <c r="H6" s="6">
        <f>C6-D6-E6-F6-G6</f>
        <v>169400</v>
      </c>
    </row>
    <row r="7" spans="1:10" x14ac:dyDescent="0.35">
      <c r="A7" s="3">
        <v>6</v>
      </c>
      <c r="B7" s="4" t="s">
        <v>13</v>
      </c>
      <c r="C7" s="5">
        <v>230000</v>
      </c>
      <c r="D7" s="4">
        <f>C7*0.1</f>
        <v>23000</v>
      </c>
      <c r="E7" s="4">
        <f>C7*0.05</f>
        <v>11500</v>
      </c>
      <c r="F7" s="4">
        <f>C7*0.02</f>
        <v>4600</v>
      </c>
      <c r="G7" s="4">
        <f>C7*0.06</f>
        <v>13800</v>
      </c>
      <c r="H7" s="6">
        <f>C7-D7-E7-F7-G7</f>
        <v>177100</v>
      </c>
    </row>
    <row r="8" spans="1:10" x14ac:dyDescent="0.35">
      <c r="A8" s="3">
        <v>7</v>
      </c>
      <c r="B8" s="4" t="s">
        <v>14</v>
      </c>
      <c r="C8" s="5">
        <v>200000</v>
      </c>
      <c r="D8" s="4">
        <f>C8*0.1</f>
        <v>20000</v>
      </c>
      <c r="E8" s="4">
        <f>C8*0.05</f>
        <v>10000</v>
      </c>
      <c r="F8" s="4">
        <f>C8*0.02</f>
        <v>4000</v>
      </c>
      <c r="G8" s="4">
        <f>C8*0.06</f>
        <v>12000</v>
      </c>
      <c r="H8" s="6">
        <f>C8-D8-E8-F8-G8</f>
        <v>154000</v>
      </c>
      <c r="I8" s="1"/>
      <c r="J8" s="1"/>
    </row>
    <row r="9" spans="1:10" x14ac:dyDescent="0.35">
      <c r="A9" s="3">
        <v>8</v>
      </c>
      <c r="B9" s="4" t="s">
        <v>15</v>
      </c>
      <c r="C9" s="5">
        <v>190000</v>
      </c>
      <c r="D9" s="4">
        <f>C9*0.1</f>
        <v>19000</v>
      </c>
      <c r="E9" s="4">
        <f>C9*0.05</f>
        <v>9500</v>
      </c>
      <c r="F9" s="4">
        <f>C9*0.02</f>
        <v>3800</v>
      </c>
      <c r="G9" s="4">
        <f>C9*0.06</f>
        <v>11400</v>
      </c>
      <c r="H9" s="6">
        <f>C9-D9-E9-F9-G9</f>
        <v>146300</v>
      </c>
      <c r="I9" s="1"/>
      <c r="J9" s="1"/>
    </row>
    <row r="10" spans="1:10" x14ac:dyDescent="0.35">
      <c r="A10" s="3">
        <v>9</v>
      </c>
      <c r="B10" s="4" t="s">
        <v>16</v>
      </c>
      <c r="C10" s="5">
        <v>180000</v>
      </c>
      <c r="D10" s="4">
        <f>C10*0.1</f>
        <v>18000</v>
      </c>
      <c r="E10" s="4">
        <f>C10*0.05</f>
        <v>9000</v>
      </c>
      <c r="F10" s="4">
        <f>C10*0.02</f>
        <v>3600</v>
      </c>
      <c r="G10" s="4">
        <f>C10*0.06</f>
        <v>10800</v>
      </c>
      <c r="H10" s="6">
        <f>C10-D10-E10-F10-G10</f>
        <v>138600</v>
      </c>
      <c r="I10" s="1"/>
      <c r="J10" s="1"/>
    </row>
    <row r="11" spans="1:10" x14ac:dyDescent="0.35">
      <c r="A11" s="3">
        <v>10</v>
      </c>
      <c r="B11" s="4" t="s">
        <v>17</v>
      </c>
      <c r="C11" s="5">
        <v>150000</v>
      </c>
      <c r="D11" s="4">
        <f>C11*0.1</f>
        <v>15000</v>
      </c>
      <c r="E11" s="4">
        <f>C11*0.05</f>
        <v>7500</v>
      </c>
      <c r="F11" s="4">
        <f>C11*0.02</f>
        <v>3000</v>
      </c>
      <c r="G11" s="4">
        <f>C11*0.06</f>
        <v>9000</v>
      </c>
      <c r="H11" s="6">
        <f>C11-D11-E11-F11-G11</f>
        <v>115500</v>
      </c>
      <c r="I11" s="1"/>
      <c r="J11" s="1"/>
    </row>
    <row r="12" spans="1:10" x14ac:dyDescent="0.35">
      <c r="A12" s="8" t="s">
        <v>20</v>
      </c>
      <c r="B12" s="8"/>
      <c r="C12" s="8"/>
      <c r="D12" s="8"/>
      <c r="E12" s="8"/>
      <c r="F12" s="8"/>
      <c r="G12" s="8"/>
      <c r="H12" s="7">
        <f>AVERAGE(H2:H11)</f>
        <v>150920</v>
      </c>
      <c r="I12" s="1"/>
      <c r="J12" s="9"/>
    </row>
    <row r="13" spans="1:10" x14ac:dyDescent="0.35">
      <c r="A13" s="8" t="s">
        <v>18</v>
      </c>
      <c r="B13" s="8"/>
      <c r="C13" s="8"/>
      <c r="D13" s="8"/>
      <c r="E13" s="8"/>
      <c r="F13" s="8"/>
      <c r="G13" s="8"/>
      <c r="H13" s="10">
        <v>90000</v>
      </c>
      <c r="I13" s="1"/>
    </row>
    <row r="14" spans="1:10" x14ac:dyDescent="0.35">
      <c r="A14" s="8" t="s">
        <v>19</v>
      </c>
      <c r="B14" s="8"/>
      <c r="C14" s="8"/>
      <c r="D14" s="8"/>
      <c r="E14" s="8"/>
      <c r="F14" s="8"/>
      <c r="G14" s="8"/>
      <c r="H14" s="10">
        <v>300000</v>
      </c>
      <c r="I14" s="1"/>
    </row>
  </sheetData>
  <sortState xmlns:xlrd2="http://schemas.microsoft.com/office/spreadsheetml/2017/richdata2" ref="A2:H14">
    <sortCondition ref="A1:A11"/>
  </sortState>
  <mergeCells count="3">
    <mergeCell ref="A12:G12"/>
    <mergeCell ref="A13:G13"/>
    <mergeCell ref="A14:G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FA25-BCS-167 (MUHAMMAD MUFFASER NAEEM)</dc:creator>
  <cp:lastModifiedBy>FA25-BCS-167 (MUHAMMAD MUFFASER NAEEM)</cp:lastModifiedBy>
  <dcterms:created xsi:type="dcterms:W3CDTF">2025-10-30T03:50:06Z</dcterms:created>
  <dcterms:modified xsi:type="dcterms:W3CDTF">2025-10-30T04:24:52Z</dcterms:modified>
</cp:coreProperties>
</file>